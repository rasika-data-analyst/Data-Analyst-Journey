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xcel\Git\"/>
    </mc:Choice>
  </mc:AlternateContent>
  <xr:revisionPtr revIDLastSave="0" documentId="13_ncr:1_{96609AF3-3E76-4D6E-BB6A-5AD84CC3A5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2" i="1"/>
  <c r="G3" i="1"/>
  <c r="G4" i="1"/>
  <c r="G5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<sst xmlns="http://schemas.openxmlformats.org/spreadsheetml/2006/main" count="55" uniqueCount="44">
  <si>
    <t>Employee ID</t>
  </si>
  <si>
    <t>Employee Name</t>
  </si>
  <si>
    <t>Department ID</t>
  </si>
  <si>
    <t>Salary</t>
  </si>
  <si>
    <t>E001</t>
  </si>
  <si>
    <t>Amit</t>
  </si>
  <si>
    <t>D01</t>
  </si>
  <si>
    <t>E002</t>
  </si>
  <si>
    <t>Priya</t>
  </si>
  <si>
    <t>D02</t>
  </si>
  <si>
    <t>E003</t>
  </si>
  <si>
    <t>Rahul</t>
  </si>
  <si>
    <t>D03</t>
  </si>
  <si>
    <t>E004</t>
  </si>
  <si>
    <t>Sneha</t>
  </si>
  <si>
    <t>D04</t>
  </si>
  <si>
    <t>E005</t>
  </si>
  <si>
    <t>Karan</t>
  </si>
  <si>
    <t>E006</t>
  </si>
  <si>
    <t>Neha</t>
  </si>
  <si>
    <t>E007</t>
  </si>
  <si>
    <t>Arjun</t>
  </si>
  <si>
    <t>E008</t>
  </si>
  <si>
    <t>Pooja</t>
  </si>
  <si>
    <t>Department</t>
  </si>
  <si>
    <t>Manager</t>
  </si>
  <si>
    <t>Location</t>
  </si>
  <si>
    <t>Sales</t>
  </si>
  <si>
    <t>Raj</t>
  </si>
  <si>
    <t>Mumbai</t>
  </si>
  <si>
    <t>HR</t>
  </si>
  <si>
    <t>Meena</t>
  </si>
  <si>
    <t>Delhi</t>
  </si>
  <si>
    <t>IT</t>
  </si>
  <si>
    <t>Vikram</t>
  </si>
  <si>
    <t>Bangalore</t>
  </si>
  <si>
    <t>Finance</t>
  </si>
  <si>
    <t>Anjali</t>
  </si>
  <si>
    <t>Pune</t>
  </si>
  <si>
    <t xml:space="preserve"> Department</t>
  </si>
  <si>
    <t>Vlookup</t>
  </si>
  <si>
    <t>xlookup</t>
  </si>
  <si>
    <t xml:space="preserve"> INDEX MATCH Department</t>
  </si>
  <si>
    <t>INDEX(Department, MATCH(Department_ID, Department_ID_Table, 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</si>
</sst>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J11" sqref="J11"/>
    </sheetView>
  </sheetViews>
  <sheetFormatPr defaultRowHeight="14.5" x14ac:dyDescent="0.35"/>
  <cols>
    <col min="1" max="1" width="11.453125" customWidth="1"/>
    <col min="2" max="2" width="14.26953125" customWidth="1"/>
    <col min="3" max="3" width="13.90625" customWidth="1"/>
    <col min="5" max="8" width="11.7265625" customWidth="1"/>
    <col min="9" max="9" width="13.90625" customWidth="1"/>
    <col min="10" max="10" width="14.453125" customWidth="1"/>
    <col min="12" max="12" width="10.9062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7" t="s">
        <v>39</v>
      </c>
      <c r="F1" s="8" t="s">
        <v>25</v>
      </c>
      <c r="G1" s="8" t="s">
        <v>26</v>
      </c>
      <c r="H1" s="6" t="s">
        <v>41</v>
      </c>
      <c r="I1" s="1" t="s">
        <v>2</v>
      </c>
      <c r="J1" s="1" t="s">
        <v>24</v>
      </c>
      <c r="K1" s="1" t="s">
        <v>25</v>
      </c>
      <c r="L1" s="1" t="s">
        <v>26</v>
      </c>
    </row>
    <row r="2" spans="1:12" x14ac:dyDescent="0.35">
      <c r="A2" s="4" t="s">
        <v>4</v>
      </c>
      <c r="B2" s="4" t="s">
        <v>5</v>
      </c>
      <c r="C2" s="4" t="s">
        <v>6</v>
      </c>
      <c r="D2" s="4">
        <v>42000</v>
      </c>
      <c r="E2" t="str">
        <f>VLOOKUP(C2,$I$2:$L$5,2,FALSE)</f>
        <v>Sales</v>
      </c>
      <c r="F2" t="str">
        <f>VLOOKUP(C2,$I$2:$L$5,3,FALSE)</f>
        <v>Raj</v>
      </c>
      <c r="G2" t="str">
        <f>VLOOKUP(C2,I2:L5,4,0)</f>
        <v>Mumbai</v>
      </c>
      <c r="H2" t="str">
        <f>_xlfn.XLOOKUP(C2,$I$2:$I$5,$J$2:$J$5,"Not Found")</f>
        <v>Sales</v>
      </c>
      <c r="I2" s="2" t="s">
        <v>6</v>
      </c>
      <c r="J2" s="2" t="s">
        <v>27</v>
      </c>
      <c r="K2" s="2" t="s">
        <v>28</v>
      </c>
      <c r="L2" s="2" t="s">
        <v>29</v>
      </c>
    </row>
    <row r="3" spans="1:12" x14ac:dyDescent="0.35">
      <c r="A3" s="4" t="s">
        <v>7</v>
      </c>
      <c r="B3" s="4" t="s">
        <v>8</v>
      </c>
      <c r="C3" s="4" t="s">
        <v>9</v>
      </c>
      <c r="D3" s="4">
        <v>48000</v>
      </c>
      <c r="E3" t="str">
        <f t="shared" ref="E3:E9" si="0">VLOOKUP(C3,$I$2:$L$5,2,FALSE)</f>
        <v>HR</v>
      </c>
      <c r="F3" t="str">
        <f t="shared" ref="F3:F9" si="1">VLOOKUP(C3,$I$2:$L$5,3,FALSE)</f>
        <v>Meena</v>
      </c>
      <c r="G3" t="str">
        <f t="shared" ref="G3:G9" si="2">VLOOKUP(C3,I3:L6,4,0)</f>
        <v>Delhi</v>
      </c>
      <c r="H3" t="str">
        <f t="shared" ref="H3:H9" si="3">_xlfn.XLOOKUP(C3,$I$2:$I$5,$J$2:$J$5,"Not Found")</f>
        <v>HR</v>
      </c>
      <c r="I3" s="2" t="s">
        <v>9</v>
      </c>
      <c r="J3" s="2" t="s">
        <v>30</v>
      </c>
      <c r="K3" s="2" t="s">
        <v>31</v>
      </c>
      <c r="L3" s="2" t="s">
        <v>32</v>
      </c>
    </row>
    <row r="4" spans="1:12" x14ac:dyDescent="0.35">
      <c r="A4" s="4" t="s">
        <v>10</v>
      </c>
      <c r="B4" s="4" t="s">
        <v>11</v>
      </c>
      <c r="C4" s="4" t="s">
        <v>12</v>
      </c>
      <c r="D4" s="4">
        <v>55000</v>
      </c>
      <c r="E4" t="str">
        <f t="shared" si="0"/>
        <v>IT</v>
      </c>
      <c r="F4" t="str">
        <f t="shared" si="1"/>
        <v>Vikram</v>
      </c>
      <c r="G4" t="str">
        <f t="shared" si="2"/>
        <v>Bangalore</v>
      </c>
      <c r="H4" t="str">
        <f t="shared" si="3"/>
        <v>IT</v>
      </c>
      <c r="I4" s="2" t="s">
        <v>12</v>
      </c>
      <c r="J4" s="2" t="s">
        <v>33</v>
      </c>
      <c r="K4" s="2" t="s">
        <v>34</v>
      </c>
      <c r="L4" s="2" t="s">
        <v>35</v>
      </c>
    </row>
    <row r="5" spans="1:12" x14ac:dyDescent="0.35">
      <c r="A5" s="4" t="s">
        <v>13</v>
      </c>
      <c r="B5" s="4" t="s">
        <v>14</v>
      </c>
      <c r="C5" s="4" t="s">
        <v>15</v>
      </c>
      <c r="D5" s="4">
        <v>60000</v>
      </c>
      <c r="E5" t="str">
        <f t="shared" si="0"/>
        <v>Finance</v>
      </c>
      <c r="F5" t="str">
        <f t="shared" si="1"/>
        <v>Anjali</v>
      </c>
      <c r="G5" t="str">
        <f t="shared" si="2"/>
        <v>Pune</v>
      </c>
      <c r="H5" t="str">
        <f t="shared" si="3"/>
        <v>Finance</v>
      </c>
      <c r="I5" s="2" t="s">
        <v>15</v>
      </c>
      <c r="J5" s="2" t="s">
        <v>36</v>
      </c>
      <c r="K5" s="2" t="s">
        <v>37</v>
      </c>
      <c r="L5" s="2" t="s">
        <v>38</v>
      </c>
    </row>
    <row r="6" spans="1:12" x14ac:dyDescent="0.35">
      <c r="A6" s="4" t="s">
        <v>16</v>
      </c>
      <c r="B6" s="4" t="s">
        <v>17</v>
      </c>
      <c r="C6" s="4" t="s">
        <v>6</v>
      </c>
      <c r="D6" s="4">
        <v>45000</v>
      </c>
      <c r="E6" t="str">
        <f t="shared" si="0"/>
        <v>Sales</v>
      </c>
      <c r="F6" t="str">
        <f t="shared" si="1"/>
        <v>Raj</v>
      </c>
      <c r="H6" t="str">
        <f t="shared" si="3"/>
        <v>Sales</v>
      </c>
    </row>
    <row r="7" spans="1:12" x14ac:dyDescent="0.35">
      <c r="A7" s="4" t="s">
        <v>18</v>
      </c>
      <c r="B7" s="4" t="s">
        <v>19</v>
      </c>
      <c r="C7" s="4" t="s">
        <v>12</v>
      </c>
      <c r="D7" s="4">
        <v>52000</v>
      </c>
      <c r="E7" t="str">
        <f t="shared" si="0"/>
        <v>IT</v>
      </c>
      <c r="F7" t="str">
        <f t="shared" si="1"/>
        <v>Vikram</v>
      </c>
      <c r="H7" t="str">
        <f t="shared" si="3"/>
        <v>IT</v>
      </c>
    </row>
    <row r="8" spans="1:12" x14ac:dyDescent="0.35">
      <c r="A8" s="4" t="s">
        <v>20</v>
      </c>
      <c r="B8" s="4" t="s">
        <v>21</v>
      </c>
      <c r="C8" s="4" t="s">
        <v>15</v>
      </c>
      <c r="D8" s="4">
        <v>58000</v>
      </c>
      <c r="E8" t="str">
        <f t="shared" si="0"/>
        <v>Finance</v>
      </c>
      <c r="F8" t="str">
        <f t="shared" si="1"/>
        <v>Anjali</v>
      </c>
      <c r="H8" t="str">
        <f t="shared" si="3"/>
        <v>Finance</v>
      </c>
    </row>
    <row r="9" spans="1:12" x14ac:dyDescent="0.35">
      <c r="A9" s="4" t="s">
        <v>22</v>
      </c>
      <c r="B9" s="4" t="s">
        <v>23</v>
      </c>
      <c r="C9" s="4" t="s">
        <v>9</v>
      </c>
      <c r="D9" s="4">
        <v>47000</v>
      </c>
      <c r="E9" t="str">
        <f t="shared" si="0"/>
        <v>HR</v>
      </c>
      <c r="F9" t="str">
        <f t="shared" si="1"/>
        <v>Meena</v>
      </c>
      <c r="H9" t="str">
        <f t="shared" si="3"/>
        <v>HR</v>
      </c>
      <c r="J9" t="s">
        <v>42</v>
      </c>
    </row>
    <row r="10" spans="1:12" x14ac:dyDescent="0.35">
      <c r="E10" s="5" t="s">
        <v>40</v>
      </c>
      <c r="F10" s="5"/>
      <c r="G10" s="5"/>
      <c r="J10" t="s">
        <v>43</v>
      </c>
    </row>
  </sheetData>
  <mergeCells count="1">
    <mergeCell ref="E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2015-06-05T18:17:20Z</dcterms:created>
  <dcterms:modified xsi:type="dcterms:W3CDTF">2026-08-13T09:50:35Z</dcterms:modified>
</cp:coreProperties>
</file>