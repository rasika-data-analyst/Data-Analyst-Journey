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Excel\Git\"/>
    </mc:Choice>
  </mc:AlternateContent>
  <xr:revisionPtr revIDLastSave="0" documentId="13_ncr:1_{2179093E-69D3-4853-83A7-2A5E160DE0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D14" i="1"/>
  <c r="D15" i="1"/>
  <c r="D13" i="1"/>
  <c r="L3" i="1"/>
  <c r="L4" i="1"/>
  <c r="L5" i="1"/>
  <c r="L6" i="1"/>
  <c r="L7" i="1"/>
  <c r="L8" i="1"/>
  <c r="L9" i="1"/>
  <c r="L2" i="1"/>
  <c r="K3" i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4" i="1"/>
  <c r="H5" i="1"/>
  <c r="H6" i="1"/>
  <c r="H7" i="1"/>
  <c r="H8" i="1"/>
  <c r="H9" i="1"/>
  <c r="H3" i="1"/>
  <c r="H2" i="1"/>
</calcChain>
</file>

<file path=xl/sharedStrings.xml><?xml version="1.0" encoding="utf-8"?>
<sst xmlns="http://schemas.openxmlformats.org/spreadsheetml/2006/main" count="44" uniqueCount="35">
  <si>
    <t>Employee ID</t>
  </si>
  <si>
    <t>Employee</t>
  </si>
  <si>
    <t>Department</t>
  </si>
  <si>
    <t>Salary</t>
  </si>
  <si>
    <t>Sales</t>
  </si>
  <si>
    <t>Target</t>
  </si>
  <si>
    <t>Profit</t>
  </si>
  <si>
    <t>E001</t>
  </si>
  <si>
    <t>Amit</t>
  </si>
  <si>
    <t>E002</t>
  </si>
  <si>
    <t>Priya</t>
  </si>
  <si>
    <t>HR</t>
  </si>
  <si>
    <t>E003</t>
  </si>
  <si>
    <t>Rahul</t>
  </si>
  <si>
    <t>IT</t>
  </si>
  <si>
    <t>E004</t>
  </si>
  <si>
    <t>Sneha</t>
  </si>
  <si>
    <t>Finance</t>
  </si>
  <si>
    <t>E005</t>
  </si>
  <si>
    <t>Karan</t>
  </si>
  <si>
    <t>E006</t>
  </si>
  <si>
    <t>Neha</t>
  </si>
  <si>
    <t>E007</t>
  </si>
  <si>
    <t>Arjun</t>
  </si>
  <si>
    <t>E008</t>
  </si>
  <si>
    <t>Pooja</t>
  </si>
  <si>
    <t xml:space="preserve"> Salary Status</t>
  </si>
  <si>
    <t xml:space="preserve"> Target Status</t>
  </si>
  <si>
    <t>Performance</t>
  </si>
  <si>
    <t>Bonus Eligibility</t>
  </si>
  <si>
    <t>Special Review</t>
  </si>
  <si>
    <t>Quantity</t>
  </si>
  <si>
    <t>Sales per Unit</t>
  </si>
  <si>
    <t>Test</t>
  </si>
  <si>
    <t>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</si>
</sst>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E16" sqref="E16"/>
    </sheetView>
  </sheetViews>
  <sheetFormatPr defaultRowHeight="14.5" x14ac:dyDescent="0.35"/>
  <cols>
    <col min="1" max="1" width="12.08984375" customWidth="1"/>
    <col min="2" max="2" width="12" customWidth="1"/>
    <col min="3" max="3" width="14.36328125" customWidth="1"/>
    <col min="4" max="4" width="11.36328125" bestFit="1" customWidth="1"/>
    <col min="8" max="8" width="14.6328125" customWidth="1"/>
    <col min="9" max="9" width="15.81640625" customWidth="1"/>
    <col min="10" max="10" width="12.26953125" customWidth="1"/>
    <col min="11" max="11" width="13.08984375" customWidth="1"/>
  </cols>
  <sheetData>
    <row r="1" spans="1:1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26</v>
      </c>
      <c r="I1" s="6" t="s">
        <v>27</v>
      </c>
      <c r="J1" s="6" t="s">
        <v>28</v>
      </c>
      <c r="K1" s="6" t="s">
        <v>29</v>
      </c>
      <c r="L1" s="7" t="s">
        <v>30</v>
      </c>
    </row>
    <row r="2" spans="1:12" x14ac:dyDescent="0.35">
      <c r="A2" s="1" t="s">
        <v>7</v>
      </c>
      <c r="B2" s="1" t="s">
        <v>8</v>
      </c>
      <c r="C2" s="1" t="s">
        <v>4</v>
      </c>
      <c r="D2" s="2">
        <v>42000</v>
      </c>
      <c r="E2" s="2">
        <v>85000</v>
      </c>
      <c r="F2" s="2">
        <v>80000</v>
      </c>
      <c r="G2" s="2">
        <v>12000</v>
      </c>
      <c r="H2" s="5" t="str">
        <f>IF(D2&gt;45000,"High Salary","Normal Salary")</f>
        <v>Normal Salary</v>
      </c>
      <c r="I2" s="5" t="str">
        <f>IF(E2&gt;=F2,"Target Achieved","Target Not Achieved")</f>
        <v>Target Achieved</v>
      </c>
      <c r="J2" s="5" t="str">
        <f>IF(E2&gt;=100000,"Excellent",IF(E2&gt;=80000,"Good","Needs Improvement"))</f>
        <v>Good</v>
      </c>
      <c r="K2" s="5" t="str">
        <f>IF(AND(D2&gt;45000,E2&gt;=F2),"Eligible","Not Eligible")</f>
        <v>Not Eligible</v>
      </c>
      <c r="L2" s="5" t="str">
        <f>IF(OR(E2&gt;=100000,G2&gt;=15000),"Review","No Review")</f>
        <v>No Review</v>
      </c>
    </row>
    <row r="3" spans="1:12" x14ac:dyDescent="0.35">
      <c r="A3" s="1" t="s">
        <v>9</v>
      </c>
      <c r="B3" s="1" t="s">
        <v>10</v>
      </c>
      <c r="C3" s="1" t="s">
        <v>11</v>
      </c>
      <c r="D3" s="2">
        <v>48000</v>
      </c>
      <c r="E3" s="2">
        <v>62000</v>
      </c>
      <c r="F3" s="2">
        <v>70000</v>
      </c>
      <c r="G3" s="2">
        <v>9000</v>
      </c>
      <c r="H3" s="5" t="str">
        <f>IF(D3&gt;45000,"High Salary","Normal Salary")</f>
        <v>High Salary</v>
      </c>
      <c r="I3" s="5" t="str">
        <f t="shared" ref="I3:I9" si="0">IF(E3&gt;=F3,"Target Achieved","Target Not Achieved")</f>
        <v>Target Not Achieved</v>
      </c>
      <c r="J3" s="5" t="str">
        <f t="shared" ref="J3:J9" si="1">IF(E3&gt;=100000,"Excellent",IF(E3&gt;=80000,"Good","Needs Improvement"))</f>
        <v>Needs Improvement</v>
      </c>
      <c r="K3" s="5" t="str">
        <f t="shared" ref="K3:K9" si="2">IF(AND(D3&gt;45000,E3&gt;=F3),"Eligible","Not Eligible")</f>
        <v>Not Eligible</v>
      </c>
      <c r="L3" s="5" t="str">
        <f t="shared" ref="L3:L9" si="3">IF(OR(E3&gt;=100000,G3&gt;=15000),"Review","No Review")</f>
        <v>No Review</v>
      </c>
    </row>
    <row r="4" spans="1:12" x14ac:dyDescent="0.35">
      <c r="A4" s="1" t="s">
        <v>12</v>
      </c>
      <c r="B4" s="1" t="s">
        <v>13</v>
      </c>
      <c r="C4" s="1" t="s">
        <v>14</v>
      </c>
      <c r="D4" s="2">
        <v>55000</v>
      </c>
      <c r="E4" s="2">
        <v>95000</v>
      </c>
      <c r="F4" s="2">
        <v>90000</v>
      </c>
      <c r="G4" s="2">
        <v>15000</v>
      </c>
      <c r="H4" s="5" t="str">
        <f t="shared" ref="H4:H9" si="4">IF(D4&gt;45000,"High Salary","Normal Salary")</f>
        <v>High Salary</v>
      </c>
      <c r="I4" s="5" t="str">
        <f t="shared" si="0"/>
        <v>Target Achieved</v>
      </c>
      <c r="J4" s="5" t="str">
        <f t="shared" si="1"/>
        <v>Good</v>
      </c>
      <c r="K4" s="5" t="str">
        <f t="shared" si="2"/>
        <v>Eligible</v>
      </c>
      <c r="L4" s="5" t="str">
        <f t="shared" si="3"/>
        <v>Review</v>
      </c>
    </row>
    <row r="5" spans="1:12" x14ac:dyDescent="0.35">
      <c r="A5" s="1" t="s">
        <v>15</v>
      </c>
      <c r="B5" s="1" t="s">
        <v>16</v>
      </c>
      <c r="C5" s="1" t="s">
        <v>17</v>
      </c>
      <c r="D5" s="2">
        <v>60000</v>
      </c>
      <c r="E5" s="2">
        <v>105000</v>
      </c>
      <c r="F5" s="2">
        <v>100000</v>
      </c>
      <c r="G5" s="2">
        <v>18000</v>
      </c>
      <c r="H5" s="5" t="str">
        <f t="shared" si="4"/>
        <v>High Salary</v>
      </c>
      <c r="I5" s="5" t="str">
        <f t="shared" si="0"/>
        <v>Target Achieved</v>
      </c>
      <c r="J5" s="5" t="str">
        <f t="shared" si="1"/>
        <v>Excellent</v>
      </c>
      <c r="K5" s="5" t="str">
        <f t="shared" si="2"/>
        <v>Eligible</v>
      </c>
      <c r="L5" s="5" t="str">
        <f t="shared" si="3"/>
        <v>Review</v>
      </c>
    </row>
    <row r="6" spans="1:12" x14ac:dyDescent="0.35">
      <c r="A6" s="1" t="s">
        <v>18</v>
      </c>
      <c r="B6" s="1" t="s">
        <v>19</v>
      </c>
      <c r="C6" s="1" t="s">
        <v>4</v>
      </c>
      <c r="D6" s="2">
        <v>45000</v>
      </c>
      <c r="E6" s="2">
        <v>78000</v>
      </c>
      <c r="F6" s="2">
        <v>80000</v>
      </c>
      <c r="G6" s="2">
        <v>7000</v>
      </c>
      <c r="H6" s="5" t="str">
        <f t="shared" si="4"/>
        <v>Normal Salary</v>
      </c>
      <c r="I6" s="5" t="str">
        <f t="shared" si="0"/>
        <v>Target Not Achieved</v>
      </c>
      <c r="J6" s="5" t="str">
        <f t="shared" si="1"/>
        <v>Needs Improvement</v>
      </c>
      <c r="K6" s="5" t="str">
        <f t="shared" si="2"/>
        <v>Not Eligible</v>
      </c>
      <c r="L6" s="5" t="str">
        <f t="shared" si="3"/>
        <v>No Review</v>
      </c>
    </row>
    <row r="7" spans="1:12" x14ac:dyDescent="0.35">
      <c r="A7" s="1" t="s">
        <v>20</v>
      </c>
      <c r="B7" s="1" t="s">
        <v>21</v>
      </c>
      <c r="C7" s="1" t="s">
        <v>14</v>
      </c>
      <c r="D7" s="2">
        <v>52000</v>
      </c>
      <c r="E7" s="2">
        <v>88000</v>
      </c>
      <c r="F7" s="2">
        <v>85000</v>
      </c>
      <c r="G7" s="2">
        <v>13000</v>
      </c>
      <c r="H7" s="5" t="str">
        <f t="shared" si="4"/>
        <v>High Salary</v>
      </c>
      <c r="I7" s="5" t="str">
        <f t="shared" si="0"/>
        <v>Target Achieved</v>
      </c>
      <c r="J7" s="5" t="str">
        <f t="shared" si="1"/>
        <v>Good</v>
      </c>
      <c r="K7" s="5" t="str">
        <f t="shared" si="2"/>
        <v>Eligible</v>
      </c>
      <c r="L7" s="5" t="str">
        <f t="shared" si="3"/>
        <v>No Review</v>
      </c>
    </row>
    <row r="8" spans="1:12" x14ac:dyDescent="0.35">
      <c r="A8" s="1" t="s">
        <v>22</v>
      </c>
      <c r="B8" s="1" t="s">
        <v>23</v>
      </c>
      <c r="C8" s="1" t="s">
        <v>17</v>
      </c>
      <c r="D8" s="2">
        <v>58000</v>
      </c>
      <c r="E8" s="2">
        <v>99000</v>
      </c>
      <c r="F8" s="2">
        <v>95000</v>
      </c>
      <c r="G8" s="2">
        <v>16000</v>
      </c>
      <c r="H8" s="5" t="str">
        <f t="shared" si="4"/>
        <v>High Salary</v>
      </c>
      <c r="I8" s="5" t="str">
        <f t="shared" si="0"/>
        <v>Target Achieved</v>
      </c>
      <c r="J8" s="5" t="str">
        <f t="shared" si="1"/>
        <v>Good</v>
      </c>
      <c r="K8" s="5" t="str">
        <f t="shared" si="2"/>
        <v>Eligible</v>
      </c>
      <c r="L8" s="5" t="str">
        <f t="shared" si="3"/>
        <v>Review</v>
      </c>
    </row>
    <row r="9" spans="1:12" x14ac:dyDescent="0.35">
      <c r="A9" s="1" t="s">
        <v>24</v>
      </c>
      <c r="B9" s="1" t="s">
        <v>25</v>
      </c>
      <c r="C9" s="1" t="s">
        <v>11</v>
      </c>
      <c r="D9" s="2">
        <v>47000</v>
      </c>
      <c r="E9" s="2">
        <v>70000</v>
      </c>
      <c r="F9" s="2">
        <v>70000</v>
      </c>
      <c r="G9" s="2">
        <v>10000</v>
      </c>
      <c r="H9" s="5" t="str">
        <f t="shared" si="4"/>
        <v>High Salary</v>
      </c>
      <c r="I9" s="5" t="str">
        <f t="shared" si="0"/>
        <v>Target Achieved</v>
      </c>
      <c r="J9" s="5" t="str">
        <f t="shared" si="1"/>
        <v>Needs Improvement</v>
      </c>
      <c r="K9" s="5" t="str">
        <f t="shared" si="2"/>
        <v>Eligible</v>
      </c>
      <c r="L9" s="5" t="str">
        <f t="shared" si="3"/>
        <v>No Review</v>
      </c>
    </row>
    <row r="12" spans="1:12" ht="29" x14ac:dyDescent="0.35">
      <c r="A12" s="3" t="s">
        <v>1</v>
      </c>
      <c r="B12" s="3" t="s">
        <v>4</v>
      </c>
      <c r="C12" s="3" t="s">
        <v>31</v>
      </c>
      <c r="D12" s="3" t="s">
        <v>32</v>
      </c>
      <c r="E12" s="4" t="s">
        <v>34</v>
      </c>
    </row>
    <row r="13" spans="1:12" x14ac:dyDescent="0.35">
      <c r="A13" s="8" t="s">
        <v>8</v>
      </c>
      <c r="B13" s="8">
        <v>85000</v>
      </c>
      <c r="C13" s="8">
        <v>12</v>
      </c>
      <c r="D13" s="8">
        <f>B13/C13</f>
        <v>7083.333333333333</v>
      </c>
      <c r="E13" s="9"/>
    </row>
    <row r="14" spans="1:12" x14ac:dyDescent="0.35">
      <c r="A14" s="8" t="s">
        <v>10</v>
      </c>
      <c r="B14" s="8">
        <v>62000</v>
      </c>
      <c r="C14" s="8">
        <v>8</v>
      </c>
      <c r="D14" s="8">
        <f t="shared" ref="D14:D15" si="5">B14/C14</f>
        <v>7750</v>
      </c>
      <c r="E14" s="9"/>
    </row>
    <row r="15" spans="1:12" x14ac:dyDescent="0.35">
      <c r="A15" s="8" t="s">
        <v>33</v>
      </c>
      <c r="B15" s="8">
        <v>50000</v>
      </c>
      <c r="C15" s="8">
        <v>0</v>
      </c>
      <c r="D15" s="8" t="e">
        <f t="shared" si="5"/>
        <v>#DIV/0!</v>
      </c>
      <c r="E15" s="9" t="str">
        <f>IFERROR(D15,"Not available")</f>
        <v>Not available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</dc:creator>
  <cp:lastModifiedBy>Rasika</cp:lastModifiedBy>
  <dcterms:created xsi:type="dcterms:W3CDTF">2015-06-05T18:17:20Z</dcterms:created>
  <dcterms:modified xsi:type="dcterms:W3CDTF">2026-08-12T12:13:51Z</dcterms:modified>
</cp:coreProperties>
</file>