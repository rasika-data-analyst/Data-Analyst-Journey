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xcel\Git\"/>
    </mc:Choice>
  </mc:AlternateContent>
  <xr:revisionPtr revIDLastSave="0" documentId="13_ncr:1_{60F133BD-EB85-47C8-8F50-259F17B774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2" i="1"/>
  <c r="L4" i="1"/>
  <c r="L3" i="1"/>
  <c r="L2" i="1"/>
  <c r="K3" i="1"/>
  <c r="K4" i="1"/>
  <c r="K5" i="1"/>
  <c r="K6" i="1"/>
  <c r="K7" i="1"/>
  <c r="K8" i="1"/>
  <c r="K9" i="1"/>
  <c r="K2" i="1"/>
  <c r="J2" i="1"/>
  <c r="J3" i="1"/>
  <c r="J4" i="1"/>
  <c r="J5" i="1"/>
  <c r="J6" i="1"/>
  <c r="J7" i="1"/>
  <c r="J8" i="1"/>
  <c r="J9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2" i="1" a="1"/>
  <c r="F3" i="1"/>
  <c r="F4" i="1"/>
  <c r="F5" i="1"/>
  <c r="F6" i="1"/>
  <c r="F7" i="1"/>
  <c r="F8" i="1"/>
  <c r="F9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<sst xmlns="http://schemas.openxmlformats.org/spreadsheetml/2006/main" count="37" uniqueCount="33">
  <si>
    <t>Employee ID</t>
  </si>
  <si>
    <t>Employee Name</t>
  </si>
  <si>
    <t>Department</t>
  </si>
  <si>
    <t>Joining Date</t>
  </si>
  <si>
    <t>Exit/Current Date</t>
  </si>
  <si>
    <t>E001</t>
  </si>
  <si>
    <t>Amit</t>
  </si>
  <si>
    <t>Sales</t>
  </si>
  <si>
    <t>E002</t>
  </si>
  <si>
    <t>Priya</t>
  </si>
  <si>
    <t>HR</t>
  </si>
  <si>
    <t>E003</t>
  </si>
  <si>
    <t>Rahul</t>
  </si>
  <si>
    <t>IT</t>
  </si>
  <si>
    <t>E004</t>
  </si>
  <si>
    <t>Sneha</t>
  </si>
  <si>
    <t>Finance</t>
  </si>
  <si>
    <t>E005</t>
  </si>
  <si>
    <t>Karan</t>
  </si>
  <si>
    <t>E006</t>
  </si>
  <si>
    <t>Neha</t>
  </si>
  <si>
    <t>E007</t>
  </si>
  <si>
    <t>Arjun</t>
  </si>
  <si>
    <t>E008</t>
  </si>
  <si>
    <t>Pooja</t>
  </si>
  <si>
    <t xml:space="preserve"> Joining Year</t>
  </si>
  <si>
    <t xml:space="preserve"> Joining Month</t>
  </si>
  <si>
    <t xml:space="preserve"> Joining Day</t>
  </si>
  <si>
    <t xml:space="preserve"> Years of Service</t>
  </si>
  <si>
    <t xml:space="preserve"> Months of Service</t>
  </si>
  <si>
    <t xml:space="preserve"> Days of Service</t>
  </si>
  <si>
    <t xml:space="preserve"> Employee Status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</si>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</sst>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14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L9" sqref="L9"/>
    </sheetView>
  </sheetViews>
  <sheetFormatPr defaultRowHeight="14.5" x14ac:dyDescent="0.35"/>
  <cols>
    <col min="1" max="1" width="10.6328125" customWidth="1"/>
    <col min="2" max="2" width="11.08984375" customWidth="1"/>
    <col min="3" max="3" width="12.90625" customWidth="1"/>
    <col min="4" max="4" width="10.6328125" customWidth="1"/>
    <col min="5" max="5" width="12.1796875" customWidth="1"/>
    <col min="12" max="12" width="15.1796875" bestFit="1" customWidth="1"/>
    <col min="13" max="13" width="16.1796875" customWidth="1"/>
  </cols>
  <sheetData>
    <row r="1" spans="1:13" ht="43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9" t="s">
        <v>32</v>
      </c>
      <c r="M1" s="7" t="s">
        <v>31</v>
      </c>
    </row>
    <row r="2" spans="1:13" x14ac:dyDescent="0.35">
      <c r="A2" s="1" t="s">
        <v>5</v>
      </c>
      <c r="B2" s="1" t="s">
        <v>6</v>
      </c>
      <c r="C2" s="1" t="s">
        <v>7</v>
      </c>
      <c r="D2" s="2">
        <v>43845</v>
      </c>
      <c r="E2" s="2">
        <v>46246</v>
      </c>
      <c r="F2" s="6">
        <f>YEAR(D2)</f>
        <v>2020</v>
      </c>
      <c r="G2" s="6" cm="1">
        <f t="array" ref="G2:G9">MONTH(D2:D9)</f>
        <v>1</v>
      </c>
      <c r="H2" s="6">
        <f>DAY(D2)</f>
        <v>15</v>
      </c>
      <c r="I2" s="8">
        <f>DATEDIF(D2,E2,"Y")</f>
        <v>6</v>
      </c>
      <c r="J2" s="5">
        <f>DATEDIF(D2,E2,"M")</f>
        <v>78</v>
      </c>
      <c r="K2" s="5">
        <f>DATEDIF(D2,E2,"D")</f>
        <v>2401</v>
      </c>
      <c r="L2" s="10">
        <f ca="1">TODAY()</f>
        <v>46247</v>
      </c>
      <c r="M2" s="5" t="str">
        <f>IF(I2&gt;=5,"Experienced","Less than 5 Years")</f>
        <v>Experienced</v>
      </c>
    </row>
    <row r="3" spans="1:13" x14ac:dyDescent="0.35">
      <c r="A3" s="1" t="s">
        <v>8</v>
      </c>
      <c r="B3" s="1" t="s">
        <v>9</v>
      </c>
      <c r="C3" s="1" t="s">
        <v>10</v>
      </c>
      <c r="D3" s="2">
        <v>44367</v>
      </c>
      <c r="E3" s="2">
        <v>46246</v>
      </c>
      <c r="F3" s="6">
        <f t="shared" ref="F3:F9" si="0">YEAR(D3)</f>
        <v>2021</v>
      </c>
      <c r="G3" s="6">
        <v>6</v>
      </c>
      <c r="H3" s="6">
        <f t="shared" ref="H3:H9" si="1">DAY(D3)</f>
        <v>20</v>
      </c>
      <c r="I3" s="8">
        <f t="shared" ref="I3:I9" si="2">DATEDIF(D3,E3,"Y")</f>
        <v>5</v>
      </c>
      <c r="J3" s="5">
        <f t="shared" ref="J3:J9" si="3">DATEDIF(D3,E3,"M")</f>
        <v>61</v>
      </c>
      <c r="K3" s="5">
        <f t="shared" ref="K3:K9" si="4">DATEDIF(D3,E3,"D")</f>
        <v>1879</v>
      </c>
      <c r="L3" s="11">
        <f ca="1">NOW()</f>
        <v>46247.569012384258</v>
      </c>
      <c r="M3" s="5" t="str">
        <f t="shared" ref="M3:M9" si="5">IF(I3&gt;=5,"Experienced","Less than 5 Years")</f>
        <v>Experienced</v>
      </c>
    </row>
    <row r="4" spans="1:13" x14ac:dyDescent="0.35">
      <c r="A4" s="1" t="s">
        <v>11</v>
      </c>
      <c r="B4" s="1" t="s">
        <v>12</v>
      </c>
      <c r="C4" s="1" t="s">
        <v>13</v>
      </c>
      <c r="D4" s="2">
        <v>43534</v>
      </c>
      <c r="E4" s="2">
        <v>46246</v>
      </c>
      <c r="F4" s="6">
        <f t="shared" si="0"/>
        <v>2019</v>
      </c>
      <c r="G4" s="6">
        <v>3</v>
      </c>
      <c r="H4" s="6">
        <f t="shared" si="1"/>
        <v>10</v>
      </c>
      <c r="I4" s="8">
        <f t="shared" si="2"/>
        <v>7</v>
      </c>
      <c r="J4" s="5">
        <f t="shared" si="3"/>
        <v>89</v>
      </c>
      <c r="K4" s="5">
        <f t="shared" si="4"/>
        <v>2712</v>
      </c>
      <c r="L4" s="10">
        <f>DATE(2026,8,13)</f>
        <v>46247</v>
      </c>
      <c r="M4" s="5" t="str">
        <f t="shared" si="5"/>
        <v>Experienced</v>
      </c>
    </row>
    <row r="5" spans="1:13" x14ac:dyDescent="0.35">
      <c r="A5" s="1" t="s">
        <v>14</v>
      </c>
      <c r="B5" s="1" t="s">
        <v>15</v>
      </c>
      <c r="C5" s="1" t="s">
        <v>16</v>
      </c>
      <c r="D5" s="2">
        <v>44829</v>
      </c>
      <c r="E5" s="2">
        <v>46246</v>
      </c>
      <c r="F5" s="6">
        <f t="shared" si="0"/>
        <v>2022</v>
      </c>
      <c r="G5" s="6">
        <v>9</v>
      </c>
      <c r="H5" s="6">
        <f t="shared" si="1"/>
        <v>25</v>
      </c>
      <c r="I5" s="8">
        <f t="shared" si="2"/>
        <v>3</v>
      </c>
      <c r="J5" s="5">
        <f t="shared" si="3"/>
        <v>46</v>
      </c>
      <c r="K5" s="5">
        <f t="shared" si="4"/>
        <v>1417</v>
      </c>
      <c r="M5" s="5" t="str">
        <f t="shared" si="5"/>
        <v>Less than 5 Years</v>
      </c>
    </row>
    <row r="6" spans="1:13" x14ac:dyDescent="0.35">
      <c r="A6" s="1" t="s">
        <v>17</v>
      </c>
      <c r="B6" s="1" t="s">
        <v>18</v>
      </c>
      <c r="C6" s="1" t="s">
        <v>7</v>
      </c>
      <c r="D6" s="2">
        <v>45021</v>
      </c>
      <c r="E6" s="2">
        <v>46246</v>
      </c>
      <c r="F6" s="6">
        <f t="shared" si="0"/>
        <v>2023</v>
      </c>
      <c r="G6" s="6">
        <v>4</v>
      </c>
      <c r="H6" s="6">
        <f t="shared" si="1"/>
        <v>5</v>
      </c>
      <c r="I6" s="8">
        <f t="shared" si="2"/>
        <v>3</v>
      </c>
      <c r="J6" s="5">
        <f t="shared" si="3"/>
        <v>40</v>
      </c>
      <c r="K6" s="5">
        <f t="shared" si="4"/>
        <v>1225</v>
      </c>
      <c r="M6" s="5" t="str">
        <f t="shared" si="5"/>
        <v>Less than 5 Years</v>
      </c>
    </row>
    <row r="7" spans="1:13" x14ac:dyDescent="0.35">
      <c r="A7" s="1" t="s">
        <v>19</v>
      </c>
      <c r="B7" s="1" t="s">
        <v>20</v>
      </c>
      <c r="C7" s="1" t="s">
        <v>13</v>
      </c>
      <c r="D7" s="2">
        <v>44147</v>
      </c>
      <c r="E7" s="2">
        <v>46246</v>
      </c>
      <c r="F7" s="6">
        <f t="shared" si="0"/>
        <v>2020</v>
      </c>
      <c r="G7" s="6">
        <v>11</v>
      </c>
      <c r="H7" s="6">
        <f t="shared" si="1"/>
        <v>12</v>
      </c>
      <c r="I7" s="8">
        <f t="shared" si="2"/>
        <v>5</v>
      </c>
      <c r="J7" s="5">
        <f t="shared" si="3"/>
        <v>69</v>
      </c>
      <c r="K7" s="5">
        <f t="shared" si="4"/>
        <v>2099</v>
      </c>
      <c r="M7" s="5" t="str">
        <f t="shared" si="5"/>
        <v>Experienced</v>
      </c>
    </row>
    <row r="8" spans="1:13" x14ac:dyDescent="0.35">
      <c r="A8" s="1" t="s">
        <v>21</v>
      </c>
      <c r="B8" s="1" t="s">
        <v>22</v>
      </c>
      <c r="C8" s="1" t="s">
        <v>16</v>
      </c>
      <c r="D8" s="2">
        <v>45340</v>
      </c>
      <c r="E8" s="2">
        <v>46246</v>
      </c>
      <c r="F8" s="6">
        <f t="shared" si="0"/>
        <v>2024</v>
      </c>
      <c r="G8" s="6">
        <v>2</v>
      </c>
      <c r="H8" s="6">
        <f t="shared" si="1"/>
        <v>18</v>
      </c>
      <c r="I8" s="8">
        <f t="shared" si="2"/>
        <v>2</v>
      </c>
      <c r="J8" s="5">
        <f t="shared" si="3"/>
        <v>29</v>
      </c>
      <c r="K8" s="5">
        <f t="shared" si="4"/>
        <v>906</v>
      </c>
      <c r="M8" s="5" t="str">
        <f t="shared" si="5"/>
        <v>Less than 5 Years</v>
      </c>
    </row>
    <row r="9" spans="1:13" x14ac:dyDescent="0.35">
      <c r="A9" s="1" t="s">
        <v>23</v>
      </c>
      <c r="B9" s="1" t="s">
        <v>24</v>
      </c>
      <c r="C9" s="1" t="s">
        <v>10</v>
      </c>
      <c r="D9" s="2">
        <v>44752</v>
      </c>
      <c r="E9" s="2">
        <v>46246</v>
      </c>
      <c r="F9" s="6">
        <f t="shared" si="0"/>
        <v>2022</v>
      </c>
      <c r="G9" s="6">
        <v>7</v>
      </c>
      <c r="H9" s="6">
        <f t="shared" si="1"/>
        <v>10</v>
      </c>
      <c r="I9" s="8">
        <f t="shared" si="2"/>
        <v>4</v>
      </c>
      <c r="J9" s="5">
        <f t="shared" si="3"/>
        <v>49</v>
      </c>
      <c r="K9" s="5">
        <f t="shared" si="4"/>
        <v>1494</v>
      </c>
      <c r="M9" s="5" t="str">
        <f t="shared" si="5"/>
        <v>Less than 5 Years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</dc:creator>
  <cp:lastModifiedBy>Rasika</cp:lastModifiedBy>
  <dcterms:created xsi:type="dcterms:W3CDTF">2015-06-05T18:17:20Z</dcterms:created>
  <dcterms:modified xsi:type="dcterms:W3CDTF">2026-08-13T08:09:26Z</dcterms:modified>
</cp:coreProperties>
</file>