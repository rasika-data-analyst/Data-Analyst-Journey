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Excel\Git\"/>
    </mc:Choice>
  </mc:AlternateContent>
  <xr:revisionPtr revIDLastSave="0" documentId="13_ncr:1_{0BFE9FA9-5776-4ACE-B9B4-D20E58B64D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<sst xmlns="http://schemas.openxmlformats.org/spreadsheetml/2006/main" count="58" uniqueCount="44">
  <si>
    <t>Employee ID</t>
  </si>
  <si>
    <t>Employee</t>
  </si>
  <si>
    <t>Department</t>
  </si>
  <si>
    <t>Salary</t>
  </si>
  <si>
    <t>Sales</t>
  </si>
  <si>
    <t>Region</t>
  </si>
  <si>
    <t>E001</t>
  </si>
  <si>
    <t>Amit</t>
  </si>
  <si>
    <t>West</t>
  </si>
  <si>
    <t>E002</t>
  </si>
  <si>
    <t>Priya</t>
  </si>
  <si>
    <t>HR</t>
  </si>
  <si>
    <t>North</t>
  </si>
  <si>
    <t>E003</t>
  </si>
  <si>
    <t>Rahul</t>
  </si>
  <si>
    <t>IT</t>
  </si>
  <si>
    <t>South</t>
  </si>
  <si>
    <t>E004</t>
  </si>
  <si>
    <t>Sneha</t>
  </si>
  <si>
    <t>Finance</t>
  </si>
  <si>
    <t>E005</t>
  </si>
  <si>
    <t>Karan</t>
  </si>
  <si>
    <t>E006</t>
  </si>
  <si>
    <t>Neha</t>
  </si>
  <si>
    <t>E007</t>
  </si>
  <si>
    <t>Arjun</t>
  </si>
  <si>
    <t>E008</t>
  </si>
  <si>
    <t>Pooja</t>
  </si>
  <si>
    <t>E009</t>
  </si>
  <si>
    <t>Rohan</t>
  </si>
  <si>
    <t>E010</t>
  </si>
  <si>
    <t>Meena</t>
  </si>
  <si>
    <t>How many employees belong to the Sales department?</t>
  </si>
  <si>
    <t>Questions</t>
  </si>
  <si>
    <t>Ans</t>
  </si>
  <si>
    <t>Count employees earning above ₹50,000</t>
  </si>
  <si>
    <t>How many Sales employees have salary greater than ₹45,000?</t>
  </si>
  <si>
    <t>How many Sales employees are in the South region?</t>
  </si>
  <si>
    <t>What are the total Sales department sales?</t>
  </si>
  <si>
    <t>What are the total sales from the West region?</t>
  </si>
  <si>
    <t>What are the total sales generated by Sales employees in the South?</t>
  </si>
  <si>
    <t>What are the total sales of employees earning more than ₹50,000?</t>
  </si>
  <si>
    <t>What is the average salary of Sales employees?</t>
  </si>
  <si>
    <t>What is the average sales of Sales employees in the West?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</si>
</sst>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13" sqref="I13"/>
    </sheetView>
  </sheetViews>
  <sheetFormatPr defaultRowHeight="14.5" x14ac:dyDescent="0.35"/>
  <cols>
    <col min="1" max="1" width="11.36328125" customWidth="1"/>
    <col min="2" max="2" width="9.90625" customWidth="1"/>
    <col min="3" max="3" width="12.453125" customWidth="1"/>
    <col min="7" max="7" width="55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</v>
      </c>
      <c r="H1" s="1" t="s">
        <v>34</v>
      </c>
    </row>
    <row r="2" spans="1:8" x14ac:dyDescent="0.35">
      <c r="A2" s="2" t="s">
        <v>6</v>
      </c>
      <c r="B2" s="2" t="s">
        <v>7</v>
      </c>
      <c r="C2" s="2" t="s">
        <v>4</v>
      </c>
      <c r="D2" s="2">
        <v>42000</v>
      </c>
      <c r="E2" s="2">
        <v>85000</v>
      </c>
      <c r="F2" s="2" t="s">
        <v>8</v>
      </c>
      <c r="G2" t="s">
        <v>32</v>
      </c>
      <c r="H2">
        <f>COUNTIF(C2:C11, "sales")</f>
        <v>3</v>
      </c>
    </row>
    <row r="3" spans="1:8" x14ac:dyDescent="0.35">
      <c r="A3" s="2" t="s">
        <v>9</v>
      </c>
      <c r="B3" s="2" t="s">
        <v>10</v>
      </c>
      <c r="C3" s="2" t="s">
        <v>11</v>
      </c>
      <c r="D3" s="2">
        <v>48000</v>
      </c>
      <c r="E3" s="2">
        <v>62000</v>
      </c>
      <c r="F3" s="2" t="s">
        <v>12</v>
      </c>
      <c r="G3" t="s">
        <v>35</v>
      </c>
      <c r="H3">
        <f>COUNTIF(D2:D11,"&gt;50000")</f>
        <v>5</v>
      </c>
    </row>
    <row r="4" spans="1:8" x14ac:dyDescent="0.35">
      <c r="A4" s="2" t="s">
        <v>13</v>
      </c>
      <c r="B4" s="2" t="s">
        <v>14</v>
      </c>
      <c r="C4" s="2" t="s">
        <v>15</v>
      </c>
      <c r="D4" s="2">
        <v>55000</v>
      </c>
      <c r="E4" s="2">
        <v>95000</v>
      </c>
      <c r="F4" s="2" t="s">
        <v>16</v>
      </c>
      <c r="G4" t="s">
        <v>36</v>
      </c>
      <c r="H4">
        <f>COUNTIFS(C2:C11,"Sales",D2:D11,"&gt;45000")</f>
        <v>1</v>
      </c>
    </row>
    <row r="5" spans="1:8" x14ac:dyDescent="0.35">
      <c r="A5" s="2" t="s">
        <v>17</v>
      </c>
      <c r="B5" s="2" t="s">
        <v>18</v>
      </c>
      <c r="C5" s="2" t="s">
        <v>19</v>
      </c>
      <c r="D5" s="2">
        <v>60000</v>
      </c>
      <c r="E5" s="2">
        <v>105000</v>
      </c>
      <c r="F5" s="2" t="s">
        <v>8</v>
      </c>
      <c r="G5" s="3" t="s">
        <v>37</v>
      </c>
      <c r="H5">
        <f>COUNTIFS(C2:C11, "sales",F2:F11, "South")</f>
        <v>1</v>
      </c>
    </row>
    <row r="6" spans="1:8" x14ac:dyDescent="0.35">
      <c r="A6" s="2" t="s">
        <v>20</v>
      </c>
      <c r="B6" s="2" t="s">
        <v>21</v>
      </c>
      <c r="C6" s="2" t="s">
        <v>4</v>
      </c>
      <c r="D6" s="2">
        <v>45000</v>
      </c>
      <c r="E6" s="2">
        <v>78000</v>
      </c>
      <c r="F6" s="2" t="s">
        <v>12</v>
      </c>
      <c r="G6" t="s">
        <v>38</v>
      </c>
      <c r="H6">
        <f>SUMIF(C2:C11, "Sales",E2:E11)</f>
        <v>255000</v>
      </c>
    </row>
    <row r="7" spans="1:8" x14ac:dyDescent="0.35">
      <c r="A7" s="2" t="s">
        <v>22</v>
      </c>
      <c r="B7" s="2" t="s">
        <v>23</v>
      </c>
      <c r="C7" s="2" t="s">
        <v>15</v>
      </c>
      <c r="D7" s="2">
        <v>52000</v>
      </c>
      <c r="E7" s="2">
        <v>88000</v>
      </c>
      <c r="F7" s="2" t="s">
        <v>16</v>
      </c>
      <c r="G7" t="s">
        <v>39</v>
      </c>
      <c r="H7">
        <f>SUMIF(F2:F11,"West",E2:E11)</f>
        <v>399000</v>
      </c>
    </row>
    <row r="8" spans="1:8" x14ac:dyDescent="0.35">
      <c r="A8" s="2" t="s">
        <v>24</v>
      </c>
      <c r="B8" s="2" t="s">
        <v>25</v>
      </c>
      <c r="C8" s="2" t="s">
        <v>19</v>
      </c>
      <c r="D8" s="2">
        <v>58000</v>
      </c>
      <c r="E8" s="2">
        <v>99000</v>
      </c>
      <c r="F8" s="2" t="s">
        <v>8</v>
      </c>
      <c r="G8" t="s">
        <v>40</v>
      </c>
      <c r="H8">
        <f>SUMIFS(E2:E11,C2:C11,"Sales",F2:F11,"South")</f>
        <v>92000</v>
      </c>
    </row>
    <row r="9" spans="1:8" x14ac:dyDescent="0.35">
      <c r="A9" s="2" t="s">
        <v>26</v>
      </c>
      <c r="B9" s="2" t="s">
        <v>27</v>
      </c>
      <c r="C9" s="2" t="s">
        <v>11</v>
      </c>
      <c r="D9" s="2">
        <v>47000</v>
      </c>
      <c r="E9" s="2">
        <v>70000</v>
      </c>
      <c r="F9" s="2" t="s">
        <v>12</v>
      </c>
      <c r="G9" t="s">
        <v>41</v>
      </c>
      <c r="H9">
        <f>SUMIFS(E2:E11,D2:D11,"&gt;50000")</f>
        <v>497000</v>
      </c>
    </row>
    <row r="10" spans="1:8" x14ac:dyDescent="0.35">
      <c r="A10" s="2" t="s">
        <v>28</v>
      </c>
      <c r="B10" s="2" t="s">
        <v>29</v>
      </c>
      <c r="C10" s="2" t="s">
        <v>4</v>
      </c>
      <c r="D10" s="2">
        <v>50000</v>
      </c>
      <c r="E10" s="2">
        <v>92000</v>
      </c>
      <c r="F10" s="2" t="s">
        <v>16</v>
      </c>
      <c r="G10" t="s">
        <v>42</v>
      </c>
      <c r="H10">
        <f>AVERAGEIF(C2:C11,"Sales",D2:D11)</f>
        <v>45666.666666666664</v>
      </c>
    </row>
    <row r="11" spans="1:8" x14ac:dyDescent="0.35">
      <c r="A11" s="2" t="s">
        <v>30</v>
      </c>
      <c r="B11" s="2" t="s">
        <v>31</v>
      </c>
      <c r="C11" s="2" t="s">
        <v>19</v>
      </c>
      <c r="D11" s="2">
        <v>62000</v>
      </c>
      <c r="E11" s="2">
        <v>110000</v>
      </c>
      <c r="F11" s="2" t="s">
        <v>8</v>
      </c>
      <c r="G11" t="s">
        <v>43</v>
      </c>
      <c r="H11">
        <f>AVERAGEIFS(E2:E11,C2:C11,"Sales",F2:F11,"West")</f>
        <v>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</dc:creator>
  <cp:lastModifiedBy>Rasika</cp:lastModifiedBy>
  <dcterms:created xsi:type="dcterms:W3CDTF">2015-06-05T18:17:20Z</dcterms:created>
  <dcterms:modified xsi:type="dcterms:W3CDTF">2026-08-13T08:45:48Z</dcterms:modified>
</cp:coreProperties>
</file>